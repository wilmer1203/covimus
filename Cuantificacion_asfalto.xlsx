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COVIMUS PRESIDENCIA\CONTEO DIARIO DE ASFALTADO\"/>
    </mc:Choice>
  </mc:AlternateContent>
  <xr:revisionPtr revIDLastSave="0" documentId="8_{D26608CE-BC89-4295-A476-99203CC4E254}" xr6:coauthVersionLast="45" xr6:coauthVersionMax="45" xr10:uidLastSave="{00000000-0000-0000-0000-000000000000}"/>
  <bookViews>
    <workbookView xWindow="-120" yWindow="-120" windowWidth="20730" windowHeight="11160" xr2:uid="{00DDFC7C-7E25-4C86-8382-68C0CCC6212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9" i="1" l="1"/>
</calcChain>
</file>

<file path=xl/sharedStrings.xml><?xml version="1.0" encoding="utf-8"?>
<sst xmlns="http://schemas.openxmlformats.org/spreadsheetml/2006/main" count="184" uniqueCount="91">
  <si>
    <t>MES</t>
  </si>
  <si>
    <t>ITEM</t>
  </si>
  <si>
    <t>FECHA</t>
  </si>
  <si>
    <t xml:space="preserve">AVENIDAS Y CALLES </t>
  </si>
  <si>
    <t>SECTOR</t>
  </si>
  <si>
    <t>COMUNAS</t>
  </si>
  <si>
    <t>KM</t>
  </si>
  <si>
    <t>Aplic .  TONELADAS</t>
  </si>
  <si>
    <t>AGOSTO</t>
  </si>
  <si>
    <t>Av. Igor Rodríguez</t>
  </si>
  <si>
    <t>GUARAGUAO</t>
  </si>
  <si>
    <t>BAHIA DE POZUELOS EN REVOLUCION</t>
  </si>
  <si>
    <t>Av. Bolívar</t>
  </si>
  <si>
    <t>BELLA VISTA</t>
  </si>
  <si>
    <t>GENERAL JOSE ANTONIO ANZOATEGUI 25</t>
  </si>
  <si>
    <t>Av. Daniel Camejo Octavio</t>
  </si>
  <si>
    <t>LECHERIA</t>
  </si>
  <si>
    <t>Estacionamiento Paseo de la Cruz y el Mar</t>
  </si>
  <si>
    <t>CASCO CENTRAL</t>
  </si>
  <si>
    <t>Av. Paseo de la Cruz y el Mar</t>
  </si>
  <si>
    <t>SEPTIEMBRE</t>
  </si>
  <si>
    <t>Av. Prolongación paseo colon</t>
  </si>
  <si>
    <t>SOCIALISTA EL PARAISO</t>
  </si>
  <si>
    <t>LOS CEREZOS</t>
  </si>
  <si>
    <t>Av. Venezuela-Calle Montes</t>
  </si>
  <si>
    <t>LA GULF</t>
  </si>
  <si>
    <t>TERESITA ALFONZO</t>
  </si>
  <si>
    <t>Av. Municipal, troncal 9</t>
  </si>
  <si>
    <t>Av. B</t>
  </si>
  <si>
    <t>Calle 23</t>
  </si>
  <si>
    <t>OCTUBRE</t>
  </si>
  <si>
    <t xml:space="preserve">AV. MUNICIPAL FRENTE A LA ESTACION DE SERVICIO SANDOVAL, CANAL LENTO </t>
  </si>
  <si>
    <t xml:space="preserve">AV. MUNICIPAL FRENTE A HIDROCARIBE </t>
  </si>
  <si>
    <t xml:space="preserve">AV, MUNICIPAL FRENTE A COSERVAS </t>
  </si>
  <si>
    <t xml:space="preserve">AV. MUNICIPAL FRENTE AL ANTIGUO BINGO PLATINUM </t>
  </si>
  <si>
    <t xml:space="preserve">AV. MUNICIPAL FRENTE A LA UNIDAD EDUCATIVA A. JOSE SOTILLO </t>
  </si>
  <si>
    <t>BARRIO MARIÑO</t>
  </si>
  <si>
    <t xml:space="preserve">AV. JOSE ANTONIO ANZOATEGUI, SECTOR GULF FRENTE A LA CASA DE LA CAÑA </t>
  </si>
  <si>
    <t>AV. JOSE ANTONIO ANZOATEGUI, FRENTE A PROMARKET Y RIBADEO</t>
  </si>
  <si>
    <t xml:space="preserve">AV 2. SECTOR CHUPARIN FRENTE A POLISOTILLO </t>
  </si>
  <si>
    <t xml:space="preserve">PATIO DE POLISOTILLO SECTOR CHUPARIN </t>
  </si>
  <si>
    <t>CHUPARÍN</t>
  </si>
  <si>
    <t xml:space="preserve">AV. MUNICIPAL  FRENTE A LOS BOMBEROS DE PUERTO </t>
  </si>
  <si>
    <t xml:space="preserve">AV. JOSE ANTONIO ANZOATEGUI FRENTE A RIBADEO </t>
  </si>
  <si>
    <t xml:space="preserve">AV. JOSE ANTONIO ANZOATEGUI FRENTE A FARMAJUSTO </t>
  </si>
  <si>
    <t xml:space="preserve">AV. JOSE ANTONIO ANZOATEGUI (FARMAJUSTO - PROMARKET) </t>
  </si>
  <si>
    <t xml:space="preserve">AV. JOSE ANTONIO ANZOATEGUI SECTOR GULF </t>
  </si>
  <si>
    <t xml:space="preserve">AV. JOSE ANTONIO ANZOATEGUI FRENTE A LA TECNICA SECTOR PORTUARIO </t>
  </si>
  <si>
    <t>EL PORTUARIO</t>
  </si>
  <si>
    <t xml:space="preserve">AV. JOSE ANTONIO ANZOATEGUI FRENTE A PROMARKET </t>
  </si>
  <si>
    <t>NOVIEMBRE</t>
  </si>
  <si>
    <t>SECTOR POZUELOS ARRIBA, CALLE EL COLEGIO (CC MIGUEL OTERO SILVA,</t>
  </si>
  <si>
    <t>Sector Pozuelo</t>
  </si>
  <si>
    <t>DON SIMON RODRIGUEZ</t>
  </si>
  <si>
    <t xml:space="preserve">SECTOR POZUELOS ARRIBA, CALLE COMERCIO (CC MIGUEL OTERO SILVA, </t>
  </si>
  <si>
    <t xml:space="preserve">SECTOR POZUELOS ARRIBA, CALLE SOSA (CC MIGUEL OTERO SILVA, </t>
  </si>
  <si>
    <t>SECTOR POZUELOS ARRIBA, CALLE MANEIRO (CC MIGUEL OTERO SILVA,</t>
  </si>
  <si>
    <t xml:space="preserve">SECTOR CUEVAS DE GUANIRE, CALLE CAJIGAL (SE COLOCARON 3 REDUCTORES DE VELOCIDAD) </t>
  </si>
  <si>
    <t>Cueva de guanire II</t>
  </si>
  <si>
    <t>GENERALISIMO EZEQUIEL ZAMORA</t>
  </si>
  <si>
    <t>AV. UNIVERSIDAD, SECTOR POZUELOS, FRENTE A MAKRO  Y ANTES DEL PUENTE DE POZUELOS .</t>
  </si>
  <si>
    <t>AV. MUNICIPAL, TRONCAL 9, SECTOR TIERRA ADENTRO 1 FRENTE A LA BOMBA DE POZUELOS.</t>
  </si>
  <si>
    <t>TIERRA ADENTRO 1</t>
  </si>
  <si>
    <t xml:space="preserve"> POR AMOR A CHAVEZ LUCHADORES DE TIERRA ADENTRO 1</t>
  </si>
  <si>
    <r>
      <t xml:space="preserve">AV. MUNICIPAL, TRONCAL 9, SECTOR TIERRA ADENTRO BODEGON LUNAR - TERMINAL EXPRESOS OCCIDENTE  </t>
    </r>
    <r>
      <rPr>
        <sz val="11"/>
        <color theme="1"/>
        <rFont val="Calibri"/>
        <family val="2"/>
        <scheme val="minor"/>
      </rPr>
      <t/>
    </r>
  </si>
  <si>
    <r>
      <t xml:space="preserve">AV. MUNICIPAL, TRONCAL 9, SECTOR TIERRA ADENTRO BODEGON LUNAR - TERMINAL EXPRESOS OCCIDENTE  </t>
    </r>
    <r>
      <rPr>
        <b/>
        <sz val="8"/>
        <rFont val="Arial"/>
        <family val="2"/>
      </rPr>
      <t/>
    </r>
  </si>
  <si>
    <t xml:space="preserve">CALLE 6 SECTOR 1B PLAZA DE CHUPARIN </t>
  </si>
  <si>
    <t>CHUPARIN</t>
  </si>
  <si>
    <t>AVENIDA MUNICIPAL, TRONCAL 9 (frente a puente sucre)</t>
  </si>
  <si>
    <t>0.253</t>
  </si>
  <si>
    <t>calle montes. (frente a la redoma de los bomberos)</t>
  </si>
  <si>
    <t>0.0296</t>
  </si>
  <si>
    <t>Av municipal, troncal 9. frente a</t>
  </si>
  <si>
    <t>0.245</t>
  </si>
  <si>
    <t>Av. Municipal troncal 9, (calle sucre con calle Maneiro)</t>
  </si>
  <si>
    <t>0.322</t>
  </si>
  <si>
    <t>DICIEMBRE</t>
  </si>
  <si>
    <t>0.123</t>
  </si>
  <si>
    <t>0.077</t>
  </si>
  <si>
    <t xml:space="preserve">Av municipal, calle trasven, al C.C Regina </t>
  </si>
  <si>
    <t>0.051</t>
  </si>
  <si>
    <t>Calles los tubos, entre calle roman y calle el tunel</t>
  </si>
  <si>
    <t>LAS DELICIAS</t>
  </si>
  <si>
    <t>UNIDOS LAS DELICIAS</t>
  </si>
  <si>
    <t>0.0510</t>
  </si>
  <si>
    <t>Estacionamento del Puerto comercial Eulalia Buroz</t>
  </si>
  <si>
    <t>0.071</t>
  </si>
  <si>
    <t>total</t>
  </si>
  <si>
    <r>
      <t xml:space="preserve">AV. UNIVERSIDAD, SECTOR POZUELOS, FRENTE A MAKRO  </t>
    </r>
    <r>
      <rPr>
        <b/>
        <sz val="8"/>
        <rFont val="Calibri"/>
        <family val="2"/>
        <scheme val="minor"/>
      </rPr>
      <t xml:space="preserve"> </t>
    </r>
  </si>
  <si>
    <t>total total</t>
  </si>
  <si>
    <t>Mas 1,000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</si>
</sst>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#,##0.0000"/>
    <numFmt numFmtId="167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8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protection locked="0"/>
    </xf>
  </cellStyleXfs>
  <cellXfs count="60">
    <xf numFmtId="0" fontId="0" fillId="0" borderId="0" xfId="0"/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164" fontId="6" fillId="0" borderId="0" xfId="1" applyNumberFormat="1" applyFont="1" applyAlignment="1" applyProtection="1">
      <alignment vertical="center" wrapText="1"/>
    </xf>
    <xf numFmtId="165" fontId="5" fillId="3" borderId="0" xfId="0" applyNumberFormat="1" applyFont="1" applyFill="1" applyAlignment="1">
      <alignment horizontal="right" vertical="center" wrapText="1"/>
    </xf>
    <xf numFmtId="14" fontId="5" fillId="0" borderId="0" xfId="0" applyNumberFormat="1" applyFont="1" applyAlignment="1">
      <alignment horizontal="justify" vertical="center" wrapText="1"/>
    </xf>
    <xf numFmtId="0" fontId="5" fillId="0" borderId="0" xfId="0" applyFont="1"/>
    <xf numFmtId="165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right" vertical="center" wrapText="1"/>
    </xf>
    <xf numFmtId="0" fontId="5" fillId="0" borderId="0" xfId="0" applyFont="1" applyAlignment="1">
      <alignment horizontal="justify" vertical="center" wrapText="1"/>
    </xf>
    <xf numFmtId="0" fontId="4" fillId="0" borderId="0" xfId="0" applyFont="1" applyAlignment="1">
      <alignment horizontal="righ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justify" vertical="center" wrapText="1"/>
    </xf>
    <xf numFmtId="0" fontId="9" fillId="0" borderId="0" xfId="1" applyFont="1" applyAlignment="1" applyProtection="1">
      <alignment vertical="center" wrapText="1"/>
    </xf>
    <xf numFmtId="0" fontId="8" fillId="0" borderId="0" xfId="0" applyFont="1" applyAlignment="1">
      <alignment horizontal="justify" vertical="center" wrapText="1"/>
    </xf>
    <xf numFmtId="164" fontId="10" fillId="0" borderId="0" xfId="1" applyNumberFormat="1" applyFont="1" applyAlignment="1" applyProtection="1">
      <alignment vertical="center" wrapText="1"/>
    </xf>
    <xf numFmtId="4" fontId="10" fillId="4" borderId="0" xfId="1" applyNumberFormat="1" applyFont="1" applyFill="1" applyAlignment="1" applyProtection="1">
      <alignment vertical="center" wrapText="1"/>
    </xf>
    <xf numFmtId="14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165" fontId="11" fillId="0" borderId="0" xfId="0" applyNumberFormat="1" applyFont="1" applyAlignment="1">
      <alignment wrapText="1"/>
    </xf>
    <xf numFmtId="0" fontId="5" fillId="0" borderId="0" xfId="0" applyFont="1" applyAlignment="1">
      <alignment horizontal="center" vertical="center" wrapText="1"/>
    </xf>
    <xf numFmtId="166" fontId="6" fillId="0" borderId="0" xfId="1" applyNumberFormat="1" applyFont="1" applyAlignment="1" applyProtection="1">
      <alignment horizontal="right" vertical="center" wrapText="1"/>
    </xf>
    <xf numFmtId="4" fontId="7" fillId="5" borderId="0" xfId="0" applyNumberFormat="1" applyFont="1" applyFill="1" applyAlignment="1">
      <alignment horizontal="right"/>
    </xf>
    <xf numFmtId="0" fontId="8" fillId="5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4" fontId="9" fillId="5" borderId="0" xfId="1" applyNumberFormat="1" applyFont="1" applyFill="1" applyAlignment="1" applyProtection="1">
      <alignment vertical="center" wrapText="1"/>
    </xf>
    <xf numFmtId="0" fontId="8" fillId="0" borderId="0" xfId="0" applyFont="1"/>
    <xf numFmtId="164" fontId="10" fillId="0" borderId="0" xfId="1" applyNumberFormat="1" applyFont="1" applyAlignment="1" applyProtection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left" vertical="center" wrapText="1"/>
    </xf>
    <xf numFmtId="166" fontId="10" fillId="0" borderId="0" xfId="1" applyNumberFormat="1" applyFont="1" applyAlignment="1" applyProtection="1">
      <alignment horizontal="right" vertical="center" wrapText="1"/>
    </xf>
    <xf numFmtId="4" fontId="9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left" vertical="center" wrapText="1" indent="7"/>
    </xf>
    <xf numFmtId="0" fontId="5" fillId="6" borderId="0" xfId="0" applyFont="1" applyFill="1" applyAlignment="1">
      <alignment horizontal="center" vertical="center" wrapText="1"/>
    </xf>
    <xf numFmtId="4" fontId="5" fillId="6" borderId="0" xfId="0" applyNumberFormat="1" applyFont="1" applyFill="1" applyAlignment="1">
      <alignment horizontal="right"/>
    </xf>
    <xf numFmtId="167" fontId="6" fillId="0" borderId="0" xfId="1" applyNumberFormat="1" applyFont="1" applyAlignment="1" applyProtection="1">
      <alignment horizontal="right" vertical="center" wrapText="1"/>
    </xf>
    <xf numFmtId="0" fontId="5" fillId="6" borderId="0" xfId="0" applyFont="1" applyFill="1" applyAlignment="1">
      <alignment horizontal="center" vertical="center" wrapText="1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 vertical="center" wrapText="1"/>
    </xf>
    <xf numFmtId="2" fontId="0" fillId="0" borderId="0" xfId="0" applyNumberFormat="1"/>
    <xf numFmtId="0" fontId="0" fillId="0" borderId="0" xfId="0" applyAlignment="1">
      <alignment horizontal="right"/>
    </xf>
    <xf numFmtId="165" fontId="1" fillId="0" borderId="2" xfId="0" applyNumberFormat="1" applyFont="1" applyBorder="1"/>
  </cellXfs>
  <cellStyles count="2">
    <cellStyle name="Normal" xfId="0" builtinId="0"/>
    <cellStyle name="Normal 4" xfId="1" xr:uid="{8EB4D69C-77F0-41B2-9616-D952A724F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149267</xdr:colOff>
      <xdr:row>1</xdr:row>
      <xdr:rowOff>103798</xdr:rowOff>
    </xdr:from>
    <xdr:to>
      <xdr:col>7</xdr:col>
      <xdr:colOff>219074</xdr:colOff>
      <xdr:row>1</xdr:row>
      <xdr:rowOff>625979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23A5AAC-B5B2-437F-8D06-01992448BF7C}"/>
            </a:ext>
          </a:extLst>
        </xdr:cNvPr>
        <xdr:cNvSpPr txBox="1"/>
      </xdr:nvSpPr>
      <xdr:spPr>
        <a:xfrm>
          <a:off x="1673267" y="294298"/>
          <a:ext cx="3879807" cy="522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VE" sz="800" b="1">
              <a:latin typeface="Antique Olive" panose="020B0603020204030204" pitchFamily="34" charset="0"/>
            </a:rPr>
            <a:t>EMPRESA</a:t>
          </a:r>
          <a:r>
            <a:rPr lang="es-VE" sz="800" b="1" baseline="0">
              <a:latin typeface="Antique Olive" panose="020B0603020204030204" pitchFamily="34" charset="0"/>
            </a:rPr>
            <a:t> DE PRODUCCIÓN SOCIAL</a:t>
          </a:r>
        </a:p>
        <a:p>
          <a:pPr algn="ctr"/>
          <a:r>
            <a:rPr lang="es-VE" sz="800" b="1" baseline="0">
              <a:latin typeface="Antique Olive" panose="020B0603020204030204" pitchFamily="34" charset="0"/>
            </a:rPr>
            <a:t>CONSTTRUCCIONES DE VIALIDAD E INFRAESTRUCTURA DEL</a:t>
          </a:r>
        </a:p>
        <a:p>
          <a:pPr algn="ctr"/>
          <a:r>
            <a:rPr lang="es-VE" sz="800" b="1" baseline="0">
              <a:latin typeface="Antique Olive" panose="020B0603020204030204" pitchFamily="34" charset="0"/>
            </a:rPr>
            <a:t> MUNICIPIO JUAN ANTONIO SOTILLO (COVIMUS, S.A)</a:t>
          </a:r>
        </a:p>
        <a:p>
          <a:pPr algn="ctr"/>
          <a:r>
            <a:rPr lang="es-VE" sz="800" b="1" baseline="0">
              <a:latin typeface="Antique Olive" panose="020B0603020204030204" pitchFamily="34" charset="0"/>
            </a:rPr>
            <a:t>G-200088532</a:t>
          </a:r>
          <a:endParaRPr lang="es-VE" sz="800" b="1">
            <a:latin typeface="Antique Olive" panose="020B0603020204030204" pitchFamily="34" charset="0"/>
          </a:endParaRPr>
        </a:p>
      </xdr:txBody>
    </xdr:sp>
    <xdr:clientData/>
  </xdr:twoCellAnchor>
  <xdr:twoCellAnchor editAs="oneCell">
    <xdr:from>
      <xdr:col>0</xdr:col>
      <xdr:colOff>80147</xdr:colOff>
      <xdr:row>1</xdr:row>
      <xdr:rowOff>127128</xdr:rowOff>
    </xdr:from>
    <xdr:to>
      <xdr:col>2</xdr:col>
      <xdr:colOff>485775</xdr:colOff>
      <xdr:row>1</xdr:row>
      <xdr:rowOff>566790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F6E26A-426D-4B35-BB48-3BC749388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574" b="9574"/>
        <a:stretch/>
      </xdr:blipFill>
      <xdr:spPr>
        <a:xfrm>
          <a:off x="80147" y="317628"/>
          <a:ext cx="1939153" cy="439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A8C8-7AE5-4FCF-9EAE-138976650ED2}">
  <dimension ref="A2:H71"/>
  <sheetViews>
    <sheetView tabSelected="1" topLeftCell="A61" workbookViewId="0">
      <selection activeCell="H71" sqref="H71"/>
    </sheetView>
  </sheetViews>
  <sheetFormatPr baseColWidth="10" defaultRowHeight="15" x14ac:dyDescent="0.25"/>
  <cols>
    <col min="2" max="3" width="11.5703125" bestFit="1" customWidth="1"/>
    <col min="4" max="4" width="29" customWidth="1"/>
    <col min="6" max="6" width="24.7109375" customWidth="1"/>
    <col min="7" max="7" width="11.5703125" bestFit="1" customWidth="1"/>
    <col min="8" max="8" width="14.7109375" bestFit="1" customWidth="1"/>
  </cols>
  <sheetData>
    <row r="2" spans="1:8" ht="60.75" customHeight="1" x14ac:dyDescent="0.25">
      <c r="A2" s="1"/>
      <c r="B2" s="1"/>
      <c r="C2" s="1"/>
      <c r="D2" s="1"/>
      <c r="E2" s="1"/>
      <c r="F2" s="1"/>
      <c r="G2" s="1"/>
      <c r="H2" s="1"/>
    </row>
    <row r="3" spans="1:8" ht="24.7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</row>
    <row r="4" spans="1:8" ht="20.25" customHeight="1" x14ac:dyDescent="0.25">
      <c r="A4" s="4" t="s">
        <v>8</v>
      </c>
      <c r="B4" s="5">
        <v>1</v>
      </c>
      <c r="C4" s="6">
        <v>231</v>
      </c>
      <c r="D4" s="7" t="s">
        <v>9</v>
      </c>
      <c r="E4" s="7" t="s">
        <v>10</v>
      </c>
      <c r="F4" s="7" t="s">
        <v>11</v>
      </c>
      <c r="G4" s="8">
        <v>0.16</v>
      </c>
      <c r="H4" s="9">
        <v>57</v>
      </c>
    </row>
    <row r="5" spans="1:8" ht="18.75" customHeight="1" x14ac:dyDescent="0.25">
      <c r="A5" s="4"/>
      <c r="B5" s="5">
        <v>2</v>
      </c>
      <c r="C5" s="6">
        <v>45890</v>
      </c>
      <c r="D5" s="7" t="s">
        <v>12</v>
      </c>
      <c r="E5" s="7" t="s">
        <v>13</v>
      </c>
      <c r="F5" s="7" t="s">
        <v>14</v>
      </c>
      <c r="G5" s="8">
        <v>0.19</v>
      </c>
      <c r="H5" s="9">
        <v>130</v>
      </c>
    </row>
    <row r="6" spans="1:8" ht="24" x14ac:dyDescent="0.25">
      <c r="A6" s="4"/>
      <c r="B6" s="5">
        <v>3</v>
      </c>
      <c r="C6" s="6">
        <v>45891</v>
      </c>
      <c r="D6" s="7" t="s">
        <v>12</v>
      </c>
      <c r="E6" s="7" t="s">
        <v>13</v>
      </c>
      <c r="F6" s="7" t="s">
        <v>14</v>
      </c>
      <c r="G6" s="8">
        <v>0.13</v>
      </c>
      <c r="H6" s="9">
        <v>90</v>
      </c>
    </row>
    <row r="7" spans="1:8" ht="24" x14ac:dyDescent="0.25">
      <c r="A7" s="4"/>
      <c r="B7" s="5">
        <v>4</v>
      </c>
      <c r="C7" s="6">
        <v>45896</v>
      </c>
      <c r="D7" s="7" t="s">
        <v>12</v>
      </c>
      <c r="E7" s="7" t="s">
        <v>13</v>
      </c>
      <c r="F7" s="7" t="s">
        <v>14</v>
      </c>
      <c r="G7" s="8">
        <v>0.17</v>
      </c>
      <c r="H7" s="9">
        <v>200</v>
      </c>
    </row>
    <row r="8" spans="1:8" ht="24" x14ac:dyDescent="0.25">
      <c r="A8" s="4"/>
      <c r="B8" s="5">
        <v>5</v>
      </c>
      <c r="C8" s="10">
        <v>45897</v>
      </c>
      <c r="D8" s="7" t="s">
        <v>12</v>
      </c>
      <c r="E8" s="7" t="s">
        <v>13</v>
      </c>
      <c r="F8" s="7" t="s">
        <v>14</v>
      </c>
      <c r="G8" s="8">
        <v>0.16</v>
      </c>
      <c r="H8" s="9">
        <v>122</v>
      </c>
    </row>
    <row r="9" spans="1:8" ht="24" x14ac:dyDescent="0.25">
      <c r="A9" s="4"/>
      <c r="B9" s="5">
        <v>6</v>
      </c>
      <c r="C9" s="10"/>
      <c r="D9" s="7" t="s">
        <v>15</v>
      </c>
      <c r="E9" s="7" t="s">
        <v>16</v>
      </c>
      <c r="F9" s="7" t="s">
        <v>14</v>
      </c>
      <c r="G9" s="8">
        <v>0.2</v>
      </c>
      <c r="H9" s="9">
        <v>124</v>
      </c>
    </row>
    <row r="10" spans="1:8" ht="24" x14ac:dyDescent="0.25">
      <c r="A10" s="4"/>
      <c r="B10" s="5">
        <v>7</v>
      </c>
      <c r="C10" s="10">
        <v>45899</v>
      </c>
      <c r="D10" s="7" t="s">
        <v>17</v>
      </c>
      <c r="E10" s="7" t="s">
        <v>18</v>
      </c>
      <c r="F10" s="7" t="s">
        <v>11</v>
      </c>
      <c r="G10" s="8">
        <v>0.19</v>
      </c>
      <c r="H10" s="9">
        <v>81</v>
      </c>
    </row>
    <row r="11" spans="1:8" ht="24" x14ac:dyDescent="0.25">
      <c r="A11" s="4"/>
      <c r="B11" s="5">
        <v>8</v>
      </c>
      <c r="C11" s="10"/>
      <c r="D11" s="7" t="s">
        <v>19</v>
      </c>
      <c r="E11" s="7" t="s">
        <v>18</v>
      </c>
      <c r="F11" s="7" t="s">
        <v>11</v>
      </c>
      <c r="G11" s="8">
        <v>5.8000000000000003E-2</v>
      </c>
      <c r="H11" s="9">
        <v>94</v>
      </c>
    </row>
    <row r="12" spans="1:8" x14ac:dyDescent="0.25">
      <c r="A12" s="4"/>
      <c r="B12" s="11"/>
      <c r="C12" s="11"/>
      <c r="D12" s="11"/>
      <c r="E12" s="11"/>
      <c r="F12" s="11"/>
      <c r="G12" s="16" t="s">
        <v>87</v>
      </c>
      <c r="H12" s="12">
        <v>898</v>
      </c>
    </row>
    <row r="13" spans="1:8" ht="24" x14ac:dyDescent="0.25">
      <c r="A13" s="13" t="s">
        <v>20</v>
      </c>
      <c r="B13" s="5">
        <v>9</v>
      </c>
      <c r="C13" s="6">
        <v>45903</v>
      </c>
      <c r="D13" s="7" t="s">
        <v>19</v>
      </c>
      <c r="E13" s="7" t="s">
        <v>18</v>
      </c>
      <c r="F13" s="7" t="s">
        <v>11</v>
      </c>
      <c r="G13" s="8">
        <v>0.39</v>
      </c>
      <c r="H13" s="14">
        <v>255</v>
      </c>
    </row>
    <row r="14" spans="1:8" ht="24" x14ac:dyDescent="0.25">
      <c r="A14" s="13"/>
      <c r="B14" s="5">
        <v>10</v>
      </c>
      <c r="C14" s="6">
        <v>45904</v>
      </c>
      <c r="D14" s="7" t="s">
        <v>17</v>
      </c>
      <c r="E14" s="7" t="s">
        <v>18</v>
      </c>
      <c r="F14" s="7" t="s">
        <v>11</v>
      </c>
      <c r="G14" s="8">
        <v>2E-3</v>
      </c>
      <c r="H14" s="14">
        <v>215</v>
      </c>
    </row>
    <row r="15" spans="1:8" ht="24" x14ac:dyDescent="0.25">
      <c r="A15" s="13"/>
      <c r="B15" s="5">
        <v>11</v>
      </c>
      <c r="C15" s="10">
        <v>45905</v>
      </c>
      <c r="D15" s="7" t="s">
        <v>19</v>
      </c>
      <c r="E15" s="7" t="s">
        <v>18</v>
      </c>
      <c r="F15" s="7" t="s">
        <v>11</v>
      </c>
      <c r="G15" s="8">
        <v>0.06</v>
      </c>
      <c r="H15" s="14">
        <v>205</v>
      </c>
    </row>
    <row r="16" spans="1:8" ht="24" x14ac:dyDescent="0.25">
      <c r="A16" s="13"/>
      <c r="B16" s="5">
        <v>12</v>
      </c>
      <c r="C16" s="10"/>
      <c r="D16" s="7" t="s">
        <v>21</v>
      </c>
      <c r="E16" s="7" t="s">
        <v>18</v>
      </c>
      <c r="F16" s="7" t="s">
        <v>11</v>
      </c>
      <c r="G16" s="8">
        <v>0.22</v>
      </c>
      <c r="H16" s="14">
        <v>104</v>
      </c>
    </row>
    <row r="17" spans="1:8" x14ac:dyDescent="0.25">
      <c r="A17" s="13"/>
      <c r="B17" s="5">
        <v>13</v>
      </c>
      <c r="C17" s="6">
        <v>45916</v>
      </c>
      <c r="D17" s="7" t="s">
        <v>15</v>
      </c>
      <c r="E17" s="7" t="s">
        <v>16</v>
      </c>
      <c r="F17" s="7" t="s">
        <v>22</v>
      </c>
      <c r="G17" s="8">
        <v>0.01</v>
      </c>
      <c r="H17" s="14">
        <v>200</v>
      </c>
    </row>
    <row r="18" spans="1:8" ht="24" x14ac:dyDescent="0.25">
      <c r="A18" s="13"/>
      <c r="B18" s="5">
        <v>14</v>
      </c>
      <c r="C18" s="10">
        <v>45917</v>
      </c>
      <c r="D18" s="7" t="s">
        <v>21</v>
      </c>
      <c r="E18" s="7" t="s">
        <v>23</v>
      </c>
      <c r="F18" s="7" t="s">
        <v>11</v>
      </c>
      <c r="G18" s="8">
        <v>3.3000000000000002E-2</v>
      </c>
      <c r="H18" s="14">
        <v>204</v>
      </c>
    </row>
    <row r="19" spans="1:8" x14ac:dyDescent="0.25">
      <c r="A19" s="13"/>
      <c r="B19" s="5">
        <v>15</v>
      </c>
      <c r="C19" s="10"/>
      <c r="D19" s="7" t="s">
        <v>15</v>
      </c>
      <c r="E19" s="7" t="s">
        <v>16</v>
      </c>
      <c r="F19" s="7" t="s">
        <v>22</v>
      </c>
      <c r="G19" s="8">
        <v>0.14000000000000001</v>
      </c>
      <c r="H19" s="14">
        <v>3</v>
      </c>
    </row>
    <row r="20" spans="1:8" x14ac:dyDescent="0.25">
      <c r="A20" s="13"/>
      <c r="B20" s="5">
        <v>16</v>
      </c>
      <c r="C20" s="6">
        <v>45919</v>
      </c>
      <c r="D20" s="7" t="s">
        <v>24</v>
      </c>
      <c r="E20" s="7" t="s">
        <v>25</v>
      </c>
      <c r="F20" s="7" t="s">
        <v>26</v>
      </c>
      <c r="G20" s="8">
        <v>0.44</v>
      </c>
      <c r="H20" s="14">
        <v>163</v>
      </c>
    </row>
    <row r="21" spans="1:8" ht="24" x14ac:dyDescent="0.25">
      <c r="A21" s="13"/>
      <c r="B21" s="5">
        <v>17</v>
      </c>
      <c r="C21" s="6">
        <v>45927</v>
      </c>
      <c r="D21" s="7" t="s">
        <v>27</v>
      </c>
      <c r="E21" s="7" t="s">
        <v>18</v>
      </c>
      <c r="F21" s="7" t="s">
        <v>11</v>
      </c>
      <c r="G21" s="8">
        <v>2.5999999999999999E-2</v>
      </c>
      <c r="H21" s="14">
        <v>200</v>
      </c>
    </row>
    <row r="22" spans="1:8" x14ac:dyDescent="0.25">
      <c r="A22" s="13"/>
      <c r="B22" s="5">
        <v>18</v>
      </c>
      <c r="C22" s="10">
        <v>45929</v>
      </c>
      <c r="D22" s="7" t="s">
        <v>28</v>
      </c>
      <c r="E22" s="15" t="s">
        <v>25</v>
      </c>
      <c r="F22" s="7" t="s">
        <v>26</v>
      </c>
      <c r="G22" s="8">
        <v>0.28699999999999998</v>
      </c>
      <c r="H22" s="14">
        <v>120</v>
      </c>
    </row>
    <row r="23" spans="1:8" x14ac:dyDescent="0.25">
      <c r="A23" s="13"/>
      <c r="B23" s="5">
        <v>19</v>
      </c>
      <c r="C23" s="10"/>
      <c r="D23" s="7" t="s">
        <v>29</v>
      </c>
      <c r="E23" s="15"/>
      <c r="F23" s="7" t="s">
        <v>26</v>
      </c>
      <c r="G23" s="8">
        <v>4.7E-2</v>
      </c>
      <c r="H23" s="14">
        <v>10</v>
      </c>
    </row>
    <row r="24" spans="1:8" ht="24" x14ac:dyDescent="0.25">
      <c r="A24" s="13"/>
      <c r="B24" s="5">
        <v>20</v>
      </c>
      <c r="C24" s="6">
        <v>45930</v>
      </c>
      <c r="D24" s="7" t="s">
        <v>27</v>
      </c>
      <c r="E24" s="7" t="s">
        <v>18</v>
      </c>
      <c r="F24" s="7" t="s">
        <v>11</v>
      </c>
      <c r="G24" s="8">
        <v>0.105</v>
      </c>
      <c r="H24" s="14">
        <v>201</v>
      </c>
    </row>
    <row r="25" spans="1:8" x14ac:dyDescent="0.25">
      <c r="A25" s="13"/>
      <c r="B25" s="11"/>
      <c r="C25" s="11"/>
      <c r="D25" s="11"/>
      <c r="E25" s="11"/>
      <c r="F25" s="11"/>
      <c r="G25" s="11"/>
      <c r="H25" s="12">
        <v>1880</v>
      </c>
    </row>
    <row r="26" spans="1:8" ht="22.5" x14ac:dyDescent="0.25">
      <c r="A26" s="19" t="s">
        <v>30</v>
      </c>
      <c r="B26" s="20">
        <v>21</v>
      </c>
      <c r="C26" s="21">
        <v>45931</v>
      </c>
      <c r="D26" s="22" t="s">
        <v>31</v>
      </c>
      <c r="E26" s="23"/>
      <c r="F26" s="23" t="s">
        <v>11</v>
      </c>
      <c r="G26" s="24">
        <v>2.7E-2</v>
      </c>
      <c r="H26" s="25">
        <v>10</v>
      </c>
    </row>
    <row r="27" spans="1:8" ht="22.5" x14ac:dyDescent="0.25">
      <c r="A27" s="19"/>
      <c r="B27" s="20">
        <v>22</v>
      </c>
      <c r="C27" s="26">
        <v>45933</v>
      </c>
      <c r="D27" s="22" t="s">
        <v>32</v>
      </c>
      <c r="E27" s="23"/>
      <c r="F27" s="23" t="s">
        <v>11</v>
      </c>
      <c r="G27" s="24">
        <v>0.88100000000000001</v>
      </c>
      <c r="H27" s="25">
        <v>97</v>
      </c>
    </row>
    <row r="28" spans="1:8" ht="22.5" x14ac:dyDescent="0.25">
      <c r="A28" s="19"/>
      <c r="B28" s="20">
        <v>23</v>
      </c>
      <c r="C28" s="27">
        <v>45934</v>
      </c>
      <c r="D28" s="22" t="s">
        <v>33</v>
      </c>
      <c r="E28" s="23"/>
      <c r="F28" s="23" t="s">
        <v>11</v>
      </c>
      <c r="G28" s="24">
        <v>2.4400000000000002E-2</v>
      </c>
      <c r="H28" s="25">
        <v>13</v>
      </c>
    </row>
    <row r="29" spans="1:8" ht="22.5" x14ac:dyDescent="0.25">
      <c r="A29" s="19"/>
      <c r="B29" s="20">
        <v>24</v>
      </c>
      <c r="C29" s="27"/>
      <c r="D29" s="22" t="s">
        <v>34</v>
      </c>
      <c r="E29" s="23"/>
      <c r="F29" s="23" t="s">
        <v>11</v>
      </c>
      <c r="G29" s="24">
        <v>0.08</v>
      </c>
      <c r="H29" s="25">
        <v>98</v>
      </c>
    </row>
    <row r="30" spans="1:8" ht="22.5" x14ac:dyDescent="0.25">
      <c r="A30" s="19"/>
      <c r="B30" s="20">
        <v>25</v>
      </c>
      <c r="C30" s="27"/>
      <c r="D30" s="22" t="s">
        <v>34</v>
      </c>
      <c r="E30" s="23"/>
      <c r="F30" s="23" t="s">
        <v>11</v>
      </c>
      <c r="G30" s="24">
        <v>0.08</v>
      </c>
      <c r="H30" s="25">
        <v>109</v>
      </c>
    </row>
    <row r="31" spans="1:8" ht="22.5" x14ac:dyDescent="0.25">
      <c r="A31" s="19"/>
      <c r="B31" s="20">
        <v>26</v>
      </c>
      <c r="C31" s="27"/>
      <c r="D31" s="22" t="s">
        <v>35</v>
      </c>
      <c r="E31" s="23" t="s">
        <v>36</v>
      </c>
      <c r="F31" s="23" t="s">
        <v>11</v>
      </c>
      <c r="G31" s="24">
        <v>7.6999999999999999E-2</v>
      </c>
      <c r="H31" s="25">
        <v>27</v>
      </c>
    </row>
    <row r="32" spans="1:8" ht="22.5" x14ac:dyDescent="0.25">
      <c r="A32" s="19"/>
      <c r="B32" s="20">
        <v>27</v>
      </c>
      <c r="C32" s="26">
        <v>45938</v>
      </c>
      <c r="D32" s="22" t="s">
        <v>37</v>
      </c>
      <c r="E32" s="23"/>
      <c r="F32" s="23" t="s">
        <v>26</v>
      </c>
      <c r="G32" s="24">
        <v>0.13</v>
      </c>
      <c r="H32" s="25">
        <v>207</v>
      </c>
    </row>
    <row r="33" spans="1:8" ht="22.5" x14ac:dyDescent="0.25">
      <c r="A33" s="19"/>
      <c r="B33" s="20">
        <v>28</v>
      </c>
      <c r="C33" s="28">
        <v>45940</v>
      </c>
      <c r="D33" s="22" t="s">
        <v>38</v>
      </c>
      <c r="E33" s="23"/>
      <c r="F33" s="23" t="s">
        <v>26</v>
      </c>
      <c r="G33" s="24">
        <v>0.2</v>
      </c>
      <c r="H33" s="25">
        <v>174</v>
      </c>
    </row>
    <row r="34" spans="1:8" ht="22.5" x14ac:dyDescent="0.25">
      <c r="A34" s="19"/>
      <c r="B34" s="20">
        <v>29</v>
      </c>
      <c r="C34" s="27">
        <v>45941</v>
      </c>
      <c r="D34" s="22" t="s">
        <v>39</v>
      </c>
      <c r="E34" s="23"/>
      <c r="F34" s="23" t="s">
        <v>26</v>
      </c>
      <c r="G34" s="24">
        <v>5.1200000000000002E-2</v>
      </c>
      <c r="H34" s="25">
        <v>29</v>
      </c>
    </row>
    <row r="35" spans="1:8" x14ac:dyDescent="0.25">
      <c r="A35" s="19"/>
      <c r="B35" s="20">
        <v>30</v>
      </c>
      <c r="C35" s="27"/>
      <c r="D35" s="22" t="s">
        <v>40</v>
      </c>
      <c r="E35" s="23" t="s">
        <v>41</v>
      </c>
      <c r="F35" s="23" t="s">
        <v>26</v>
      </c>
      <c r="G35" s="24">
        <v>6.5000000000000002E-2</v>
      </c>
      <c r="H35" s="25">
        <v>60</v>
      </c>
    </row>
    <row r="36" spans="1:8" ht="22.5" x14ac:dyDescent="0.25">
      <c r="A36" s="19"/>
      <c r="B36" s="20">
        <v>31</v>
      </c>
      <c r="C36" s="27"/>
      <c r="D36" s="22" t="s">
        <v>42</v>
      </c>
      <c r="E36" s="29" t="s">
        <v>25</v>
      </c>
      <c r="F36" s="23" t="s">
        <v>11</v>
      </c>
      <c r="G36" s="24">
        <v>2.9700000000000001E-2</v>
      </c>
      <c r="H36" s="25">
        <v>15</v>
      </c>
    </row>
    <row r="37" spans="1:8" ht="22.5" x14ac:dyDescent="0.25">
      <c r="A37" s="19"/>
      <c r="B37" s="20">
        <v>32</v>
      </c>
      <c r="C37" s="27"/>
      <c r="D37" s="22" t="s">
        <v>43</v>
      </c>
      <c r="E37" s="29"/>
      <c r="F37" s="23" t="s">
        <v>26</v>
      </c>
      <c r="G37" s="24">
        <v>4.9000000000000002E-2</v>
      </c>
      <c r="H37" s="25">
        <v>32</v>
      </c>
    </row>
    <row r="38" spans="1:8" ht="22.5" x14ac:dyDescent="0.25">
      <c r="A38" s="19"/>
      <c r="B38" s="20">
        <v>33</v>
      </c>
      <c r="C38" s="30">
        <v>45944</v>
      </c>
      <c r="D38" s="22" t="s">
        <v>44</v>
      </c>
      <c r="E38" s="29"/>
      <c r="F38" s="23" t="s">
        <v>26</v>
      </c>
      <c r="G38" s="24">
        <v>6.2E-2</v>
      </c>
      <c r="H38" s="25">
        <v>100</v>
      </c>
    </row>
    <row r="39" spans="1:8" ht="22.5" x14ac:dyDescent="0.25">
      <c r="A39" s="19"/>
      <c r="B39" s="20">
        <v>34</v>
      </c>
      <c r="C39" s="30"/>
      <c r="D39" s="22" t="s">
        <v>45</v>
      </c>
      <c r="E39" s="29"/>
      <c r="F39" s="23" t="s">
        <v>26</v>
      </c>
      <c r="G39" s="24">
        <v>4.2599999999999999E-2</v>
      </c>
      <c r="H39" s="25">
        <v>108</v>
      </c>
    </row>
    <row r="40" spans="1:8" ht="22.5" x14ac:dyDescent="0.25">
      <c r="A40" s="19"/>
      <c r="B40" s="20">
        <v>35</v>
      </c>
      <c r="C40" s="21">
        <v>45946</v>
      </c>
      <c r="D40" s="22" t="s">
        <v>46</v>
      </c>
      <c r="E40" s="29"/>
      <c r="F40" s="23" t="s">
        <v>26</v>
      </c>
      <c r="G40" s="24">
        <v>0.124</v>
      </c>
      <c r="H40" s="25">
        <v>160</v>
      </c>
    </row>
    <row r="41" spans="1:8" ht="22.5" x14ac:dyDescent="0.25">
      <c r="A41" s="19"/>
      <c r="B41" s="20">
        <v>36</v>
      </c>
      <c r="C41" s="21">
        <v>45954</v>
      </c>
      <c r="D41" s="22" t="s">
        <v>47</v>
      </c>
      <c r="E41" s="31" t="s">
        <v>48</v>
      </c>
      <c r="F41" s="23" t="s">
        <v>26</v>
      </c>
      <c r="G41" s="24">
        <v>3.5999999999999997E-2</v>
      </c>
      <c r="H41" s="25">
        <v>20</v>
      </c>
    </row>
    <row r="42" spans="1:8" ht="22.5" x14ac:dyDescent="0.25">
      <c r="A42" s="19"/>
      <c r="B42" s="20">
        <v>37</v>
      </c>
      <c r="C42" s="21">
        <v>45954</v>
      </c>
      <c r="D42" s="22" t="s">
        <v>49</v>
      </c>
      <c r="E42" s="32" t="s">
        <v>25</v>
      </c>
      <c r="F42" s="23" t="s">
        <v>26</v>
      </c>
      <c r="G42" s="24">
        <v>0.16800000000000001</v>
      </c>
      <c r="H42" s="25">
        <v>88</v>
      </c>
    </row>
    <row r="43" spans="1:8" x14ac:dyDescent="0.25">
      <c r="A43" s="19"/>
      <c r="B43" s="33"/>
      <c r="C43" s="33"/>
      <c r="D43" s="33"/>
      <c r="E43" s="33"/>
      <c r="F43" s="33"/>
      <c r="G43" s="33"/>
      <c r="H43" s="34">
        <v>1347</v>
      </c>
    </row>
    <row r="44" spans="1:8" ht="22.5" x14ac:dyDescent="0.25">
      <c r="A44" s="38" t="s">
        <v>50</v>
      </c>
      <c r="B44" s="20">
        <v>38</v>
      </c>
      <c r="C44" s="39">
        <v>45968</v>
      </c>
      <c r="D44" s="22" t="s">
        <v>51</v>
      </c>
      <c r="E44" s="40" t="s">
        <v>52</v>
      </c>
      <c r="F44" s="23" t="s">
        <v>53</v>
      </c>
      <c r="G44" s="24">
        <v>4.4999999999999998E-2</v>
      </c>
      <c r="H44" s="41">
        <v>40</v>
      </c>
    </row>
    <row r="45" spans="1:8" ht="22.5" x14ac:dyDescent="0.25">
      <c r="A45" s="38"/>
      <c r="B45" s="20">
        <v>39</v>
      </c>
      <c r="C45" s="39"/>
      <c r="D45" s="22" t="s">
        <v>54</v>
      </c>
      <c r="E45" s="40"/>
      <c r="F45" s="23" t="s">
        <v>53</v>
      </c>
      <c r="G45" s="24">
        <v>0.124</v>
      </c>
      <c r="H45" s="41">
        <v>70</v>
      </c>
    </row>
    <row r="46" spans="1:8" ht="22.5" x14ac:dyDescent="0.25">
      <c r="A46" s="38"/>
      <c r="B46" s="20">
        <v>36</v>
      </c>
      <c r="C46" s="39"/>
      <c r="D46" s="22" t="s">
        <v>55</v>
      </c>
      <c r="E46" s="40"/>
      <c r="F46" s="23" t="s">
        <v>53</v>
      </c>
      <c r="G46" s="24">
        <v>2.1000000000000001E-2</v>
      </c>
      <c r="H46" s="41">
        <v>20</v>
      </c>
    </row>
    <row r="47" spans="1:8" ht="22.5" x14ac:dyDescent="0.25">
      <c r="A47" s="38"/>
      <c r="B47" s="20">
        <v>37</v>
      </c>
      <c r="C47" s="39"/>
      <c r="D47" s="22" t="s">
        <v>56</v>
      </c>
      <c r="E47" s="40"/>
      <c r="F47" s="23" t="s">
        <v>53</v>
      </c>
      <c r="G47" s="24">
        <v>0.27500000000000002</v>
      </c>
      <c r="H47" s="41">
        <v>130</v>
      </c>
    </row>
    <row r="48" spans="1:8" ht="33.75" x14ac:dyDescent="0.25">
      <c r="A48" s="38"/>
      <c r="B48" s="20">
        <v>38</v>
      </c>
      <c r="C48" s="39"/>
      <c r="D48" s="22" t="s">
        <v>57</v>
      </c>
      <c r="E48" s="23" t="s">
        <v>58</v>
      </c>
      <c r="F48" s="23" t="s">
        <v>59</v>
      </c>
      <c r="G48" s="24">
        <v>0.02</v>
      </c>
      <c r="H48" s="41">
        <v>10</v>
      </c>
    </row>
    <row r="49" spans="1:8" ht="22.5" x14ac:dyDescent="0.25">
      <c r="A49" s="38"/>
      <c r="B49" s="20">
        <v>39</v>
      </c>
      <c r="C49" s="21">
        <v>45973</v>
      </c>
      <c r="D49" s="22" t="s">
        <v>88</v>
      </c>
      <c r="E49" s="42" t="s">
        <v>52</v>
      </c>
      <c r="F49" s="23" t="s">
        <v>59</v>
      </c>
      <c r="G49" s="24">
        <v>0.22620000000000001</v>
      </c>
      <c r="H49" s="41">
        <v>400</v>
      </c>
    </row>
    <row r="50" spans="1:8" ht="33.75" x14ac:dyDescent="0.25">
      <c r="A50" s="38"/>
      <c r="B50" s="20">
        <v>40</v>
      </c>
      <c r="C50" s="21">
        <v>45974</v>
      </c>
      <c r="D50" s="22" t="s">
        <v>60</v>
      </c>
      <c r="E50" s="42" t="s">
        <v>52</v>
      </c>
      <c r="F50" s="23" t="s">
        <v>59</v>
      </c>
      <c r="G50" s="24">
        <v>0.1646</v>
      </c>
      <c r="H50" s="41">
        <v>400</v>
      </c>
    </row>
    <row r="51" spans="1:8" ht="33.75" x14ac:dyDescent="0.25">
      <c r="A51" s="38"/>
      <c r="B51" s="20">
        <v>41</v>
      </c>
      <c r="C51" s="21">
        <v>45975</v>
      </c>
      <c r="D51" s="22" t="s">
        <v>61</v>
      </c>
      <c r="E51" s="42" t="s">
        <v>62</v>
      </c>
      <c r="F51" s="33" t="s">
        <v>63</v>
      </c>
      <c r="G51" s="24">
        <v>9.2999999999999999E-2</v>
      </c>
      <c r="H51" s="41">
        <v>98</v>
      </c>
    </row>
    <row r="52" spans="1:8" ht="33.75" x14ac:dyDescent="0.25">
      <c r="A52" s="38"/>
      <c r="B52" s="20">
        <v>42</v>
      </c>
      <c r="C52" s="21">
        <v>45978</v>
      </c>
      <c r="D52" s="22" t="s">
        <v>64</v>
      </c>
      <c r="E52" s="42" t="s">
        <v>62</v>
      </c>
      <c r="F52" s="33" t="s">
        <v>63</v>
      </c>
      <c r="G52" s="24">
        <v>0.23</v>
      </c>
      <c r="H52" s="41">
        <v>344</v>
      </c>
    </row>
    <row r="53" spans="1:8" ht="33.75" x14ac:dyDescent="0.25">
      <c r="A53" s="38"/>
      <c r="B53" s="20">
        <v>43</v>
      </c>
      <c r="C53" s="21">
        <v>45979</v>
      </c>
      <c r="D53" s="22" t="s">
        <v>65</v>
      </c>
      <c r="E53" s="42" t="s">
        <v>62</v>
      </c>
      <c r="F53" s="33" t="s">
        <v>63</v>
      </c>
      <c r="G53" s="24">
        <v>3.2000000000000001E-2</v>
      </c>
      <c r="H53" s="41">
        <v>20</v>
      </c>
    </row>
    <row r="54" spans="1:8" x14ac:dyDescent="0.25">
      <c r="A54" s="38"/>
      <c r="B54" s="20">
        <v>44</v>
      </c>
      <c r="C54" s="21">
        <v>45979</v>
      </c>
      <c r="D54" s="22" t="s">
        <v>66</v>
      </c>
      <c r="E54" s="42" t="s">
        <v>67</v>
      </c>
      <c r="F54" s="23" t="s">
        <v>26</v>
      </c>
      <c r="G54" s="24">
        <v>0.112</v>
      </c>
      <c r="H54" s="41">
        <v>329</v>
      </c>
    </row>
    <row r="55" spans="1:8" ht="23.25" x14ac:dyDescent="0.25">
      <c r="A55" s="38"/>
      <c r="B55" s="20">
        <v>45</v>
      </c>
      <c r="C55" s="21">
        <v>45980</v>
      </c>
      <c r="D55" s="22" t="s">
        <v>68</v>
      </c>
      <c r="E55" s="42" t="s">
        <v>62</v>
      </c>
      <c r="F55" s="33" t="s">
        <v>63</v>
      </c>
      <c r="G55" s="43" t="s">
        <v>69</v>
      </c>
      <c r="H55" s="41">
        <v>265</v>
      </c>
    </row>
    <row r="56" spans="1:8" ht="22.5" x14ac:dyDescent="0.25">
      <c r="A56" s="38"/>
      <c r="B56" s="44">
        <v>46</v>
      </c>
      <c r="C56" s="45">
        <v>45980</v>
      </c>
      <c r="D56" s="32" t="s">
        <v>70</v>
      </c>
      <c r="E56" s="32" t="s">
        <v>18</v>
      </c>
      <c r="F56" s="32" t="s">
        <v>11</v>
      </c>
      <c r="G56" s="46" t="s">
        <v>71</v>
      </c>
      <c r="H56" s="47">
        <v>35</v>
      </c>
    </row>
    <row r="57" spans="1:8" ht="24" x14ac:dyDescent="0.25">
      <c r="A57" s="48"/>
      <c r="B57" s="35">
        <v>47</v>
      </c>
      <c r="C57" s="49">
        <v>45982</v>
      </c>
      <c r="D57" s="18" t="s">
        <v>72</v>
      </c>
      <c r="E57" s="18" t="s">
        <v>18</v>
      </c>
      <c r="F57" s="18" t="s">
        <v>11</v>
      </c>
      <c r="G57" s="36" t="s">
        <v>73</v>
      </c>
      <c r="H57" s="37">
        <v>190</v>
      </c>
    </row>
    <row r="58" spans="1:8" ht="24" x14ac:dyDescent="0.25">
      <c r="A58" s="48"/>
      <c r="B58" s="35">
        <v>48</v>
      </c>
      <c r="C58" s="49">
        <v>45987</v>
      </c>
      <c r="D58" s="18" t="s">
        <v>74</v>
      </c>
      <c r="E58" s="18" t="s">
        <v>18</v>
      </c>
      <c r="F58" s="18" t="s">
        <v>11</v>
      </c>
      <c r="G58" s="36" t="s">
        <v>75</v>
      </c>
      <c r="H58" s="37">
        <v>300</v>
      </c>
    </row>
    <row r="59" spans="1:8" x14ac:dyDescent="0.25">
      <c r="A59" s="48"/>
      <c r="B59" s="17"/>
      <c r="C59" s="17"/>
      <c r="D59" s="17"/>
      <c r="E59" s="17"/>
      <c r="F59" s="17"/>
      <c r="G59" s="56" t="s">
        <v>87</v>
      </c>
      <c r="H59" s="50">
        <v>2651</v>
      </c>
    </row>
    <row r="60" spans="1:8" ht="24" x14ac:dyDescent="0.25">
      <c r="A60" s="51" t="s">
        <v>76</v>
      </c>
      <c r="B60" s="35">
        <v>49</v>
      </c>
      <c r="C60" s="49">
        <v>45992</v>
      </c>
      <c r="D60" s="18" t="s">
        <v>17</v>
      </c>
      <c r="E60" s="18" t="s">
        <v>18</v>
      </c>
      <c r="F60" s="18" t="s">
        <v>11</v>
      </c>
      <c r="G60" s="36" t="s">
        <v>77</v>
      </c>
      <c r="H60" s="52">
        <v>300</v>
      </c>
    </row>
    <row r="61" spans="1:8" ht="24" x14ac:dyDescent="0.25">
      <c r="A61" s="51"/>
      <c r="B61" s="35">
        <v>50</v>
      </c>
      <c r="C61" s="49">
        <v>45993</v>
      </c>
      <c r="D61" s="18" t="s">
        <v>17</v>
      </c>
      <c r="E61" s="18" t="s">
        <v>18</v>
      </c>
      <c r="F61" s="18" t="s">
        <v>11</v>
      </c>
      <c r="G61" s="36" t="s">
        <v>78</v>
      </c>
      <c r="H61" s="52">
        <v>89</v>
      </c>
    </row>
    <row r="62" spans="1:8" ht="24" x14ac:dyDescent="0.25">
      <c r="A62" s="51"/>
      <c r="B62" s="35">
        <v>51</v>
      </c>
      <c r="C62" s="49">
        <v>45993</v>
      </c>
      <c r="D62" s="18" t="s">
        <v>79</v>
      </c>
      <c r="E62" s="18" t="s">
        <v>18</v>
      </c>
      <c r="F62" s="18" t="s">
        <v>11</v>
      </c>
      <c r="G62" s="36" t="s">
        <v>80</v>
      </c>
      <c r="H62" s="52">
        <v>43</v>
      </c>
    </row>
    <row r="63" spans="1:8" ht="24" x14ac:dyDescent="0.25">
      <c r="A63" s="51"/>
      <c r="B63" s="35">
        <v>52</v>
      </c>
      <c r="C63" s="49">
        <v>45994</v>
      </c>
      <c r="D63" s="18" t="s">
        <v>81</v>
      </c>
      <c r="E63" s="18" t="s">
        <v>82</v>
      </c>
      <c r="F63" s="18" t="s">
        <v>83</v>
      </c>
      <c r="G63" s="36" t="s">
        <v>84</v>
      </c>
      <c r="H63" s="52">
        <v>108</v>
      </c>
    </row>
    <row r="64" spans="1:8" ht="24" x14ac:dyDescent="0.25">
      <c r="A64" s="51"/>
      <c r="B64" s="35">
        <v>53</v>
      </c>
      <c r="C64" s="49">
        <v>45999</v>
      </c>
      <c r="D64" s="18" t="s">
        <v>85</v>
      </c>
      <c r="E64" s="18"/>
      <c r="F64" s="7" t="s">
        <v>22</v>
      </c>
      <c r="G64" s="36" t="s">
        <v>86</v>
      </c>
      <c r="H64" s="52">
        <v>194</v>
      </c>
    </row>
    <row r="65" spans="1:8" ht="24" x14ac:dyDescent="0.25">
      <c r="A65" s="51"/>
      <c r="B65" s="35">
        <v>54</v>
      </c>
      <c r="C65" s="49">
        <v>46000</v>
      </c>
      <c r="D65" s="18" t="s">
        <v>85</v>
      </c>
      <c r="E65" s="18"/>
      <c r="F65" s="7" t="s">
        <v>22</v>
      </c>
      <c r="G65" s="53">
        <v>0.22600000000000001</v>
      </c>
      <c r="H65" s="52">
        <v>194</v>
      </c>
    </row>
    <row r="66" spans="1:8" ht="24" x14ac:dyDescent="0.25">
      <c r="A66" s="51"/>
      <c r="B66" s="35">
        <v>55</v>
      </c>
      <c r="C66" s="49">
        <v>46001</v>
      </c>
      <c r="D66" s="18" t="s">
        <v>85</v>
      </c>
      <c r="E66" s="18"/>
      <c r="F66" s="7" t="s">
        <v>22</v>
      </c>
      <c r="G66" s="36"/>
      <c r="H66" s="52">
        <v>212</v>
      </c>
    </row>
    <row r="67" spans="1:8" x14ac:dyDescent="0.25">
      <c r="A67" s="54"/>
      <c r="B67" s="35"/>
      <c r="C67" s="49"/>
      <c r="D67" s="18"/>
      <c r="E67" s="18"/>
      <c r="F67" s="7"/>
      <c r="G67" s="36"/>
      <c r="H67" s="55">
        <v>1140</v>
      </c>
    </row>
    <row r="69" spans="1:8" x14ac:dyDescent="0.25">
      <c r="G69" t="s">
        <v>89</v>
      </c>
      <c r="H69" s="57">
        <f>H12+H25+H43+H59+H67</f>
        <v>7916</v>
      </c>
    </row>
    <row r="70" spans="1:8" x14ac:dyDescent="0.25">
      <c r="F70" s="58" t="s">
        <v>90</v>
      </c>
    </row>
    <row r="71" spans="1:8" x14ac:dyDescent="0.25">
      <c r="H71" s="59">
        <v>8916</v>
      </c>
    </row>
  </sheetData>
  <mergeCells count="18">
    <mergeCell ref="A60:A66"/>
    <mergeCell ref="A26:A43"/>
    <mergeCell ref="C28:C31"/>
    <mergeCell ref="C34:C37"/>
    <mergeCell ref="E36:E40"/>
    <mergeCell ref="C38:C39"/>
    <mergeCell ref="A44:A56"/>
    <mergeCell ref="C44:C48"/>
    <mergeCell ref="E44:E47"/>
    <mergeCell ref="A2:H2"/>
    <mergeCell ref="A4:A12"/>
    <mergeCell ref="C8:C9"/>
    <mergeCell ref="C10:C11"/>
    <mergeCell ref="A13:A25"/>
    <mergeCell ref="C15:C16"/>
    <mergeCell ref="C18:C19"/>
    <mergeCell ref="C22:C23"/>
    <mergeCell ref="E22:E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2026-01-27T15:29:59Z</dcterms:created>
  <dcterms:modified xsi:type="dcterms:W3CDTF">2026-01-27T15:33:59Z</dcterms:modified>
</cp:coreProperties>
</file>